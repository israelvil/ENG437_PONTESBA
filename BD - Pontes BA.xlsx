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srae\Meu Drive\04 - PÓS-GRADUAÇÃO\ENG437 - PRÁTICAS CIÊNCIA DE DADOS\Projeto da Disciplina 02\"/>
    </mc:Choice>
  </mc:AlternateContent>
  <xr:revisionPtr revIDLastSave="0" documentId="13_ncr:1_{6CD46299-0D98-4698-B72E-FC6DF33073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_PONTES_BA" sheetId="1" r:id="rId1"/>
    <sheet name="G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N9" i="1"/>
  <c r="E37" i="2"/>
  <c r="E36" i="2"/>
  <c r="E35" i="2"/>
  <c r="E34" i="2"/>
  <c r="E33" i="2"/>
  <c r="E31" i="2"/>
  <c r="E30" i="2"/>
  <c r="E29" i="2"/>
  <c r="E28" i="2"/>
  <c r="E27" i="2"/>
  <c r="L6" i="1"/>
  <c r="L7" i="1"/>
  <c r="N7" i="1"/>
  <c r="I7" i="1"/>
  <c r="E25" i="2"/>
  <c r="E24" i="2"/>
  <c r="E23" i="2"/>
  <c r="E22" i="2"/>
  <c r="E21" i="2"/>
  <c r="E20" i="2" s="1"/>
  <c r="O5" i="1" s="1"/>
  <c r="N3" i="1"/>
  <c r="N4" i="1"/>
  <c r="N5" i="1"/>
  <c r="N6" i="1"/>
  <c r="N8" i="1"/>
  <c r="N11" i="1"/>
  <c r="N12" i="1"/>
  <c r="N13" i="1"/>
  <c r="N14" i="1"/>
  <c r="E67" i="2"/>
  <c r="E66" i="2"/>
  <c r="E65" i="2"/>
  <c r="E64" i="2"/>
  <c r="E63" i="2"/>
  <c r="E61" i="2"/>
  <c r="E60" i="2"/>
  <c r="E59" i="2"/>
  <c r="E58" i="2"/>
  <c r="E56" i="2" s="1"/>
  <c r="O13" i="1" s="1"/>
  <c r="E57" i="2"/>
  <c r="E55" i="2"/>
  <c r="E54" i="2"/>
  <c r="E53" i="2"/>
  <c r="E52" i="2"/>
  <c r="E51" i="2"/>
  <c r="E50" i="2" s="1"/>
  <c r="O12" i="1" s="1"/>
  <c r="E49" i="2"/>
  <c r="E48" i="2"/>
  <c r="E47" i="2"/>
  <c r="E46" i="2"/>
  <c r="E45" i="2"/>
  <c r="E43" i="2"/>
  <c r="E42" i="2"/>
  <c r="E41" i="2"/>
  <c r="E40" i="2"/>
  <c r="E39" i="2"/>
  <c r="E38" i="2" s="1"/>
  <c r="O8" i="1" s="1"/>
  <c r="E32" i="2"/>
  <c r="O7" i="1" s="1"/>
  <c r="E26" i="2"/>
  <c r="O6" i="1" s="1"/>
  <c r="E19" i="2"/>
  <c r="E18" i="2"/>
  <c r="E17" i="2"/>
  <c r="E16" i="2"/>
  <c r="E15" i="2"/>
  <c r="E13" i="2"/>
  <c r="E12" i="2"/>
  <c r="E11" i="2"/>
  <c r="E10" i="2"/>
  <c r="E9" i="2"/>
  <c r="E8" i="2" s="1"/>
  <c r="O3" i="1" s="1"/>
  <c r="E4" i="2"/>
  <c r="E5" i="2"/>
  <c r="E6" i="2"/>
  <c r="E7" i="2"/>
  <c r="E3" i="2"/>
  <c r="E2" i="2" s="1"/>
  <c r="O2" i="1" s="1"/>
  <c r="N2" i="1"/>
  <c r="E14" i="2" l="1"/>
  <c r="O4" i="1" s="1"/>
  <c r="E44" i="2"/>
  <c r="O11" i="1" s="1"/>
  <c r="E62" i="2"/>
  <c r="O14" i="1" s="1"/>
</calcChain>
</file>

<file path=xl/sharedStrings.xml><?xml version="1.0" encoding="utf-8"?>
<sst xmlns="http://schemas.openxmlformats.org/spreadsheetml/2006/main" count="171" uniqueCount="83">
  <si>
    <t>EDITAL</t>
  </si>
  <si>
    <t>ANO</t>
  </si>
  <si>
    <t>002-2025 NºBB 1064672</t>
  </si>
  <si>
    <t>BUDGET</t>
  </si>
  <si>
    <t>TIPO_CONSTRUTIVA</t>
  </si>
  <si>
    <t>DEPARTMENT</t>
  </si>
  <si>
    <t>SEINFRA-BA</t>
  </si>
  <si>
    <t>ESTADO</t>
  </si>
  <si>
    <t>BA</t>
  </si>
  <si>
    <t>M_GUT</t>
  </si>
  <si>
    <t>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</si>
  <si>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</si>
  <si>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</si>
  <si>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</si>
  <si>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</si>
  <si>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</si>
  <si>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</si>
  <si>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</si>
  <si>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</si>
  <si>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</si>
  <si>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</si>
  <si>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LOCALIZAÇÃO</t>
  </si>
  <si>
    <t>PROJETO</t>
  </si>
  <si>
    <t>Ponte sobre Rio Inhambupe, BA-233</t>
  </si>
  <si>
    <t>Sátiro Dias, Inhanbupe, BA</t>
  </si>
  <si>
    <t>005-2025 NºBB 1069824</t>
  </si>
  <si>
    <t>Caetité, BA</t>
  </si>
  <si>
    <t>007-2025 Nº1070008</t>
  </si>
  <si>
    <t>BA-601, Coribe, BA</t>
  </si>
  <si>
    <t>Ponte sobre o Riacho da Onça</t>
  </si>
  <si>
    <t>Ponte sobre o Rio das São João</t>
  </si>
  <si>
    <t>020-2025 Nº BB 1084814 (01)</t>
  </si>
  <si>
    <t>020-2025 Nº BB 1084814 (02)</t>
  </si>
  <si>
    <t xml:space="preserve"> 01/02 Pontes sobre o Riacho da Vereda</t>
  </si>
  <si>
    <t xml:space="preserve"> 02/02 Pontes sobre o Riacho da Vereda</t>
  </si>
  <si>
    <t>BA-449 Km 49, Cotegipe, BA</t>
  </si>
  <si>
    <t>BA-449 Km 50, Cotegipe, BA</t>
  </si>
  <si>
    <t>023-2024 Nº BB 1059725</t>
  </si>
  <si>
    <t>BA-161, Muquém do São Francisco, BA</t>
  </si>
  <si>
    <t>Ponte sobre o Rio da Itanhentinga</t>
  </si>
  <si>
    <t>BA-466, São José de Alcobaça, Alcobaça, BA</t>
  </si>
  <si>
    <t>023-2025 nº BB 1084872</t>
  </si>
  <si>
    <t xml:space="preserve">025-2025 nº BB 1061034 </t>
  </si>
  <si>
    <t>024-2024 Nº BB 1060421</t>
  </si>
  <si>
    <t>Ponte sobre o Rio Gavião</t>
  </si>
  <si>
    <t>BA-625, Caraíbas, BA</t>
  </si>
  <si>
    <t>028-2025 - BB 1085144</t>
  </si>
  <si>
    <t>Ponte sobre o rio Inhambupe</t>
  </si>
  <si>
    <t>BA-084, Biritinga, BA</t>
  </si>
  <si>
    <t>11</t>
  </si>
  <si>
    <t>12</t>
  </si>
  <si>
    <t>BA-466, Tabocas do Brejo Velho, BA</t>
  </si>
  <si>
    <t>Ponte sobre o Riacho da Vargem Grande</t>
  </si>
  <si>
    <t>T_DIAS</t>
  </si>
  <si>
    <t>Impacto / Indicador</t>
  </si>
  <si>
    <t>Gravidade (G)</t>
  </si>
  <si>
    <t>Urgência (U)</t>
  </si>
  <si>
    <t>Tendência (T)</t>
  </si>
  <si>
    <t>Total (GUT)</t>
  </si>
  <si>
    <t>Pegada de Carbono (Materiais)</t>
  </si>
  <si>
    <t>Interferência no Ecossistema Local</t>
  </si>
  <si>
    <t>Resiliência Climática (Cheias/Eventos)</t>
  </si>
  <si>
    <t>Manutenibilidade e Vida Útil</t>
  </si>
  <si>
    <t>Segurança e Acessibilidade Social</t>
  </si>
  <si>
    <r>
      <rPr>
        <b/>
        <sz val="11"/>
        <color theme="1"/>
        <rFont val="Calibri"/>
        <family val="2"/>
        <scheme val="minor"/>
      </rPr>
      <t>Escala de Pontuação (1 a 5)</t>
    </r>
    <r>
      <rPr>
        <sz val="11"/>
        <color theme="1"/>
        <rFont val="Calibri"/>
        <family val="2"/>
        <scheme val="minor"/>
      </rPr>
      <t xml:space="preserve">
Gravidade: 1 (Dano mínimo) a 5 (Dano ambiental ou social irreversível).
Urgência: 1 (Pode esperar) a 5 (Ação imediata necessária no projeto).
Tendência: 1 (Estável/Melhora) a 5 (Piora rápida se não houver intervenção).
</t>
    </r>
    <r>
      <rPr>
        <b/>
        <sz val="11"/>
        <color theme="1"/>
        <rFont val="Calibri"/>
        <family val="2"/>
        <scheme val="minor"/>
      </rPr>
      <t>Procedimento de Avaliação</t>
    </r>
    <r>
      <rPr>
        <sz val="11"/>
        <color theme="1"/>
        <rFont val="Calibri"/>
        <family val="2"/>
        <scheme val="minor"/>
      </rPr>
      <t xml:space="preserve">
O objetivo deste procedimento é padronizar a nota atribuída aos projetos, garantindo que a análise de sustentabilidade seja técnica e comparável.
Inventário de Aspectos: Liste os principais elementos do projeto que geram impacto, como o volume de concreto/aço (carbono incorporado), a necessidade de desvio de cursos d'água e a integração com a comunidade local.
Atribuição de Notas: Reúna a equipe técnica para pontuar cada indicador de 1 a 5. A gravidade deve considerar o ciclo de vida total da ponte, a urgência deve focar no cronograma de decisão do projeto e a tendência deve avaliar o agravamento de riscos ambientais futuros.
Cálculo e Ranking: Multiplique os três fatores para obter o índice de prioridade. Projetos ou indicadores com pontuação próxima a 125 exigem revisão imediata das soluções de engenharia para conformidade com metas de sustentabilidade.
Proposição de Mitigação: Para cada item com GUT elevado, descreva uma medida mitigadora curta, como a substituição de materiais por alternativas de menor impacto ou o ajuste da geometria para preservar a vegetação ciliar.</t>
    </r>
  </si>
  <si>
    <t>003-2025 NºBB 1065686 (01)</t>
  </si>
  <si>
    <t>BA-465 e BA-449, Cotegipe, BA</t>
  </si>
  <si>
    <t>LP</t>
  </si>
  <si>
    <t>TML</t>
  </si>
  <si>
    <t>02 Pontes em Cotegipe, BA</t>
  </si>
  <si>
    <t>MET</t>
  </si>
  <si>
    <t>003-2025 NºBB 1065686</t>
  </si>
  <si>
    <t>023-2024 Nº BB 1059725 (01)</t>
  </si>
  <si>
    <t>13</t>
  </si>
  <si>
    <t>023-2024 Nº BB 1059725 (02)</t>
  </si>
  <si>
    <t>023-2024 Nº BB 1059725 (03)</t>
  </si>
  <si>
    <t>01/03 Pontes sobre o Riacho Alegre</t>
  </si>
  <si>
    <t>02/03 Pontes sobre o Riacho Alegre</t>
  </si>
  <si>
    <t>03/03 Pontes sobre o Riacho Alegre</t>
  </si>
  <si>
    <t>LARGURA_M</t>
  </si>
  <si>
    <t>GABARITO_M</t>
  </si>
  <si>
    <t>COMP_TOTAL_M</t>
  </si>
  <si>
    <t>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</si>
</sst>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quotePrefix="1"/>
    <xf numFmtId="0" fontId="4" fillId="0" borderId="1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 wrapText="1" indent="1" readingOrder="1"/>
    </xf>
    <xf numFmtId="0" fontId="5" fillId="2" borderId="8" xfId="0" applyFont="1" applyFill="1" applyBorder="1" applyAlignment="1">
      <alignment horizontal="left" vertical="center" wrapText="1" indent="1" readingOrder="1"/>
    </xf>
    <xf numFmtId="0" fontId="5" fillId="2" borderId="9" xfId="0" applyFont="1" applyFill="1" applyBorder="1" applyAlignment="1">
      <alignment horizontal="left" vertical="center" wrapText="1" indent="1" readingOrder="1"/>
    </xf>
    <xf numFmtId="0" fontId="5" fillId="2" borderId="10" xfId="0" applyFont="1" applyFill="1" applyBorder="1" applyAlignment="1">
      <alignment vertical="center" wrapText="1" readingOrder="1"/>
    </xf>
    <xf numFmtId="44" fontId="0" fillId="0" borderId="0" xfId="2" applyFont="1"/>
    <xf numFmtId="43" fontId="0" fillId="0" borderId="0" xfId="1" applyFont="1"/>
    <xf numFmtId="0" fontId="1" fillId="2" borderId="0" xfId="0" applyFont="1" applyFill="1" applyAlignment="1">
      <alignment horizontal="center" vertical="center" wrapText="1"/>
    </xf>
    <xf numFmtId="0" fontId="1" fillId="2" borderId="0" xfId="1" applyNumberFormat="1" applyFont="1" applyFill="1" applyAlignment="1">
      <alignment horizontal="center" vertical="center" wrapText="1"/>
    </xf>
    <xf numFmtId="0" fontId="1" fillId="2" borderId="0" xfId="2" applyNumberFormat="1" applyFont="1" applyFill="1" applyAlignment="1">
      <alignment horizontal="center" vertical="center" wrapText="1"/>
    </xf>
    <xf numFmtId="43" fontId="5" fillId="3" borderId="7" xfId="1" applyFont="1" applyFill="1" applyBorder="1" applyAlignment="1">
      <alignment vertical="center" wrapText="1" readingOrder="1"/>
    </xf>
    <xf numFmtId="43" fontId="4" fillId="0" borderId="3" xfId="1" applyFont="1" applyBorder="1" applyAlignment="1">
      <alignment vertical="center" wrapText="1" readingOrder="1"/>
    </xf>
    <xf numFmtId="43" fontId="4" fillId="0" borderId="6" xfId="1" applyFont="1" applyBorder="1" applyAlignment="1">
      <alignment vertical="center" wrapText="1" readingOrder="1"/>
    </xf>
    <xf numFmtId="0" fontId="1" fillId="3" borderId="1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85" zoomScaleNormal="85" workbookViewId="0">
      <selection activeCell="I23" sqref="I23"/>
    </sheetView>
  </sheetViews>
  <sheetFormatPr defaultRowHeight="14.4" x14ac:dyDescent="0.3"/>
  <cols>
    <col min="2" max="2" width="5" bestFit="1" customWidth="1"/>
    <col min="3" max="3" width="25.44140625" bestFit="1" customWidth="1"/>
    <col min="4" max="4" width="7.5546875" bestFit="1" customWidth="1"/>
    <col min="5" max="5" width="12.6640625" customWidth="1"/>
    <col min="6" max="6" width="29.21875" customWidth="1"/>
    <col min="7" max="7" width="38.77734375" bestFit="1" customWidth="1"/>
    <col min="8" max="8" width="9.88671875" style="10" customWidth="1"/>
    <col min="9" max="9" width="11.33203125" style="10" bestFit="1" customWidth="1"/>
    <col min="10" max="10" width="11.33203125" style="10" customWidth="1"/>
    <col min="11" max="11" width="9.33203125" customWidth="1"/>
    <col min="12" max="12" width="15.5546875" style="9" bestFit="1" customWidth="1"/>
    <col min="13" max="13" width="11.5546875" customWidth="1"/>
    <col min="14" max="14" width="14" style="9" bestFit="1" customWidth="1"/>
  </cols>
  <sheetData>
    <row r="1" spans="1:15" s="11" customFormat="1" ht="35.4" customHeight="1" x14ac:dyDescent="0.3">
      <c r="A1" s="11" t="s">
        <v>10</v>
      </c>
      <c r="B1" s="11" t="s">
        <v>1</v>
      </c>
      <c r="C1" s="11" t="s">
        <v>0</v>
      </c>
      <c r="D1" s="11" t="s">
        <v>7</v>
      </c>
      <c r="E1" s="11" t="s">
        <v>5</v>
      </c>
      <c r="F1" s="11" t="s">
        <v>22</v>
      </c>
      <c r="G1" s="11" t="s">
        <v>21</v>
      </c>
      <c r="H1" s="12" t="s">
        <v>81</v>
      </c>
      <c r="I1" s="12" t="s">
        <v>80</v>
      </c>
      <c r="J1" s="12" t="s">
        <v>79</v>
      </c>
      <c r="K1" s="11" t="s">
        <v>4</v>
      </c>
      <c r="L1" s="13" t="s">
        <v>3</v>
      </c>
      <c r="M1" s="11" t="s">
        <v>53</v>
      </c>
      <c r="N1" s="13" t="s">
        <v>82</v>
      </c>
      <c r="O1" s="11" t="s">
        <v>9</v>
      </c>
    </row>
    <row r="2" spans="1:15" x14ac:dyDescent="0.3">
      <c r="A2" s="1" t="s">
        <v>11</v>
      </c>
      <c r="B2">
        <v>2025</v>
      </c>
      <c r="C2" t="s">
        <v>2</v>
      </c>
      <c r="D2" t="s">
        <v>8</v>
      </c>
      <c r="E2" t="s">
        <v>6</v>
      </c>
      <c r="F2" t="s">
        <v>23</v>
      </c>
      <c r="G2" t="s">
        <v>24</v>
      </c>
      <c r="H2" s="10">
        <v>20</v>
      </c>
      <c r="I2" s="10">
        <v>1</v>
      </c>
      <c r="J2" s="10">
        <v>10</v>
      </c>
      <c r="K2" t="s">
        <v>67</v>
      </c>
      <c r="L2" s="9">
        <v>1943002.36</v>
      </c>
      <c r="M2" s="10">
        <v>180</v>
      </c>
      <c r="N2" s="9">
        <f t="shared" ref="N2:N14" si="0">L2/H2</f>
        <v>97150.118000000002</v>
      </c>
      <c r="O2">
        <f>GUT!E2</f>
        <v>9.1999999999999993</v>
      </c>
    </row>
    <row r="3" spans="1:15" x14ac:dyDescent="0.3">
      <c r="A3" s="1" t="s">
        <v>12</v>
      </c>
      <c r="B3">
        <v>2025</v>
      </c>
      <c r="C3" t="s">
        <v>71</v>
      </c>
      <c r="D3" t="s">
        <v>8</v>
      </c>
      <c r="E3" t="s">
        <v>6</v>
      </c>
      <c r="F3" t="s">
        <v>69</v>
      </c>
      <c r="G3" t="s">
        <v>66</v>
      </c>
      <c r="H3" s="10">
        <v>22</v>
      </c>
      <c r="I3" s="10">
        <v>3.37</v>
      </c>
      <c r="J3" s="10">
        <v>10</v>
      </c>
      <c r="K3" t="s">
        <v>68</v>
      </c>
      <c r="L3" s="9">
        <v>1426937.75</v>
      </c>
      <c r="M3" s="10">
        <v>180</v>
      </c>
      <c r="N3" s="9">
        <f t="shared" si="0"/>
        <v>64860.806818181816</v>
      </c>
      <c r="O3">
        <f>GUT!E8</f>
        <v>2.2000000000000002</v>
      </c>
    </row>
    <row r="4" spans="1:15" x14ac:dyDescent="0.3">
      <c r="A4" s="1" t="s">
        <v>13</v>
      </c>
      <c r="B4">
        <v>2025</v>
      </c>
      <c r="C4" t="s">
        <v>25</v>
      </c>
      <c r="D4" t="s">
        <v>8</v>
      </c>
      <c r="E4" t="s">
        <v>6</v>
      </c>
      <c r="F4" t="s">
        <v>30</v>
      </c>
      <c r="G4" t="s">
        <v>26</v>
      </c>
      <c r="H4" s="10">
        <v>20</v>
      </c>
      <c r="I4" s="10">
        <v>3</v>
      </c>
      <c r="J4" s="10">
        <v>10</v>
      </c>
      <c r="K4" t="s">
        <v>70</v>
      </c>
      <c r="L4" s="9">
        <v>2783939.67</v>
      </c>
      <c r="M4" s="10">
        <v>180</v>
      </c>
      <c r="N4" s="9">
        <f t="shared" si="0"/>
        <v>139196.9835</v>
      </c>
      <c r="O4">
        <f>GUT!E14</f>
        <v>3.6</v>
      </c>
    </row>
    <row r="5" spans="1:15" x14ac:dyDescent="0.3">
      <c r="A5" s="1" t="s">
        <v>14</v>
      </c>
      <c r="B5">
        <v>2025</v>
      </c>
      <c r="C5" t="s">
        <v>27</v>
      </c>
      <c r="D5" t="s">
        <v>8</v>
      </c>
      <c r="E5" t="s">
        <v>6</v>
      </c>
      <c r="F5" t="s">
        <v>29</v>
      </c>
      <c r="G5" t="s">
        <v>28</v>
      </c>
      <c r="H5" s="10">
        <v>30</v>
      </c>
      <c r="I5" s="10">
        <v>2.5</v>
      </c>
      <c r="J5" s="10">
        <v>10.199999999999999</v>
      </c>
      <c r="K5" t="s">
        <v>70</v>
      </c>
      <c r="L5" s="9">
        <v>3534439.27</v>
      </c>
      <c r="M5" s="10">
        <v>240</v>
      </c>
      <c r="N5" s="9">
        <f t="shared" si="0"/>
        <v>117814.64233333334</v>
      </c>
      <c r="O5">
        <f>GUT!E20</f>
        <v>2.6</v>
      </c>
    </row>
    <row r="6" spans="1:15" x14ac:dyDescent="0.3">
      <c r="A6" s="1" t="s">
        <v>15</v>
      </c>
      <c r="B6">
        <v>2025</v>
      </c>
      <c r="C6" t="s">
        <v>31</v>
      </c>
      <c r="D6" t="s">
        <v>8</v>
      </c>
      <c r="E6" t="s">
        <v>6</v>
      </c>
      <c r="F6" t="s">
        <v>33</v>
      </c>
      <c r="G6" t="s">
        <v>35</v>
      </c>
      <c r="H6" s="10">
        <v>30</v>
      </c>
      <c r="I6" s="10">
        <v>5.8</v>
      </c>
      <c r="J6" s="10">
        <v>11.5</v>
      </c>
      <c r="K6" t="s">
        <v>68</v>
      </c>
      <c r="L6" s="9">
        <f>2729912.04+992508.92+27261.13+2124.72+74397.69+9364.31++(453491.4+42052.27+51526.35)*120/270</f>
        <v>4078711.0411111112</v>
      </c>
      <c r="M6" s="10">
        <v>120</v>
      </c>
      <c r="N6" s="9">
        <f t="shared" si="0"/>
        <v>135957.03470370371</v>
      </c>
      <c r="O6">
        <f>GUT!E26</f>
        <v>2.2000000000000002</v>
      </c>
    </row>
    <row r="7" spans="1:15" x14ac:dyDescent="0.3">
      <c r="A7" s="1" t="s">
        <v>16</v>
      </c>
      <c r="B7">
        <v>2025</v>
      </c>
      <c r="C7" t="s">
        <v>32</v>
      </c>
      <c r="D7" t="s">
        <v>8</v>
      </c>
      <c r="E7" t="s">
        <v>6</v>
      </c>
      <c r="F7" t="s">
        <v>34</v>
      </c>
      <c r="G7" t="s">
        <v>36</v>
      </c>
      <c r="H7" s="10">
        <v>50</v>
      </c>
      <c r="I7" s="10">
        <f>1.65+7.15+1.4</f>
        <v>10.200000000000001</v>
      </c>
      <c r="J7" s="10">
        <v>10</v>
      </c>
      <c r="K7" t="s">
        <v>70</v>
      </c>
      <c r="L7" s="9">
        <f>1632262.42+2293695.42+1085980.34+1751.75+51487.05+30489.32+(453491.4+42052.27+51526.35)*150/270</f>
        <v>5399594.0888888892</v>
      </c>
      <c r="M7" s="10">
        <v>150</v>
      </c>
      <c r="N7" s="9">
        <f t="shared" si="0"/>
        <v>107991.88177777779</v>
      </c>
      <c r="O7">
        <f>GUT!E32</f>
        <v>3.6</v>
      </c>
    </row>
    <row r="8" spans="1:15" x14ac:dyDescent="0.3">
      <c r="A8" s="1" t="s">
        <v>17</v>
      </c>
      <c r="B8">
        <v>2024</v>
      </c>
      <c r="C8" t="s">
        <v>72</v>
      </c>
      <c r="D8" t="s">
        <v>8</v>
      </c>
      <c r="E8" t="s">
        <v>6</v>
      </c>
      <c r="F8" t="s">
        <v>76</v>
      </c>
      <c r="G8" t="s">
        <v>38</v>
      </c>
      <c r="H8" s="10">
        <v>44</v>
      </c>
      <c r="M8" s="10">
        <v>210</v>
      </c>
      <c r="N8" s="9">
        <f t="shared" si="0"/>
        <v>0</v>
      </c>
      <c r="O8">
        <f>GUT!E38</f>
        <v>0</v>
      </c>
    </row>
    <row r="9" spans="1:15" x14ac:dyDescent="0.3">
      <c r="A9" s="1" t="s">
        <v>18</v>
      </c>
      <c r="B9">
        <v>2024</v>
      </c>
      <c r="C9" t="s">
        <v>74</v>
      </c>
      <c r="D9" t="s">
        <v>8</v>
      </c>
      <c r="E9" t="s">
        <v>6</v>
      </c>
      <c r="F9" t="s">
        <v>77</v>
      </c>
      <c r="G9" t="s">
        <v>38</v>
      </c>
      <c r="H9" s="10">
        <v>33</v>
      </c>
      <c r="M9" s="10"/>
      <c r="N9" s="9">
        <f t="shared" si="0"/>
        <v>0</v>
      </c>
    </row>
    <row r="10" spans="1:15" x14ac:dyDescent="0.3">
      <c r="A10" s="1" t="s">
        <v>19</v>
      </c>
      <c r="B10">
        <v>2024</v>
      </c>
      <c r="C10" t="s">
        <v>75</v>
      </c>
      <c r="D10" t="s">
        <v>8</v>
      </c>
      <c r="E10" t="s">
        <v>6</v>
      </c>
      <c r="F10" t="s">
        <v>78</v>
      </c>
      <c r="G10" t="s">
        <v>38</v>
      </c>
      <c r="H10" s="10">
        <v>33</v>
      </c>
      <c r="M10" s="10"/>
      <c r="N10" s="9">
        <f t="shared" si="0"/>
        <v>0</v>
      </c>
    </row>
    <row r="11" spans="1:15" x14ac:dyDescent="0.3">
      <c r="A11" s="1" t="s">
        <v>20</v>
      </c>
      <c r="B11">
        <v>2025</v>
      </c>
      <c r="C11" t="s">
        <v>41</v>
      </c>
      <c r="D11" t="s">
        <v>8</v>
      </c>
      <c r="E11" t="s">
        <v>6</v>
      </c>
      <c r="F11" t="s">
        <v>39</v>
      </c>
      <c r="G11" t="s">
        <v>40</v>
      </c>
      <c r="M11" s="10"/>
      <c r="N11" s="9" t="e">
        <f t="shared" si="0"/>
        <v>#DIV/0!</v>
      </c>
      <c r="O11">
        <f>GUT!E44</f>
        <v>0</v>
      </c>
    </row>
    <row r="12" spans="1:15" x14ac:dyDescent="0.3">
      <c r="A12" s="1" t="s">
        <v>49</v>
      </c>
      <c r="B12">
        <v>2025</v>
      </c>
      <c r="C12" t="s">
        <v>43</v>
      </c>
      <c r="D12" t="s">
        <v>8</v>
      </c>
      <c r="E12" t="s">
        <v>6</v>
      </c>
      <c r="F12" t="s">
        <v>52</v>
      </c>
      <c r="G12" t="s">
        <v>51</v>
      </c>
      <c r="H12" s="10">
        <v>30</v>
      </c>
      <c r="M12" s="10"/>
      <c r="N12" s="9">
        <f t="shared" si="0"/>
        <v>0</v>
      </c>
      <c r="O12">
        <f>GUT!E50</f>
        <v>0</v>
      </c>
    </row>
    <row r="13" spans="1:15" x14ac:dyDescent="0.3">
      <c r="A13" s="1" t="s">
        <v>50</v>
      </c>
      <c r="B13">
        <v>2025</v>
      </c>
      <c r="C13" t="s">
        <v>42</v>
      </c>
      <c r="D13" t="s">
        <v>8</v>
      </c>
      <c r="E13" t="s">
        <v>6</v>
      </c>
      <c r="F13" t="s">
        <v>44</v>
      </c>
      <c r="G13" t="s">
        <v>45</v>
      </c>
      <c r="H13" s="10">
        <v>200</v>
      </c>
      <c r="M13" s="10"/>
      <c r="N13" s="9">
        <f t="shared" si="0"/>
        <v>0</v>
      </c>
      <c r="O13">
        <f>GUT!E56</f>
        <v>0</v>
      </c>
    </row>
    <row r="14" spans="1:15" x14ac:dyDescent="0.3">
      <c r="A14" s="1" t="s">
        <v>73</v>
      </c>
      <c r="B14">
        <v>2025</v>
      </c>
      <c r="C14" t="s">
        <v>46</v>
      </c>
      <c r="D14" t="s">
        <v>8</v>
      </c>
      <c r="E14" t="s">
        <v>6</v>
      </c>
      <c r="F14" t="s">
        <v>47</v>
      </c>
      <c r="G14" t="s">
        <v>48</v>
      </c>
      <c r="M14" s="10"/>
      <c r="N14" s="9" t="e">
        <f t="shared" si="0"/>
        <v>#DIV/0!</v>
      </c>
      <c r="O14">
        <f>GUT!E62</f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2A9F-F29A-47CE-A1B8-ADE523F1AAD9}">
  <dimension ref="A1:G67"/>
  <sheetViews>
    <sheetView zoomScale="70" zoomScaleNormal="70" workbookViewId="0">
      <selection activeCell="C15" sqref="C15"/>
    </sheetView>
  </sheetViews>
  <sheetFormatPr defaultRowHeight="14.4" x14ac:dyDescent="0.3"/>
  <cols>
    <col min="1" max="1" width="41.77734375" customWidth="1"/>
    <col min="2" max="5" width="17.33203125" customWidth="1"/>
    <col min="6" max="6" width="2.88671875" customWidth="1"/>
    <col min="7" max="7" width="71.21875" customWidth="1"/>
  </cols>
  <sheetData>
    <row r="1" spans="1:7" ht="42" customHeight="1" thickBot="1" x14ac:dyDescent="0.35">
      <c r="A1" s="6" t="s">
        <v>54</v>
      </c>
      <c r="B1" s="7" t="s">
        <v>55</v>
      </c>
      <c r="C1" s="7" t="s">
        <v>56</v>
      </c>
      <c r="D1" s="7" t="s">
        <v>57</v>
      </c>
      <c r="E1" s="8" t="s">
        <v>58</v>
      </c>
      <c r="G1" s="20" t="s">
        <v>64</v>
      </c>
    </row>
    <row r="2" spans="1:7" x14ac:dyDescent="0.3">
      <c r="A2" s="17" t="s">
        <v>2</v>
      </c>
      <c r="B2" s="18"/>
      <c r="C2" s="18"/>
      <c r="D2" s="19"/>
      <c r="E2" s="14">
        <f>AVERAGE(E3:E7)</f>
        <v>9.1999999999999993</v>
      </c>
      <c r="G2" s="20"/>
    </row>
    <row r="3" spans="1:7" x14ac:dyDescent="0.3">
      <c r="A3" s="2" t="s">
        <v>59</v>
      </c>
      <c r="B3" s="3">
        <v>2</v>
      </c>
      <c r="C3" s="3">
        <v>1</v>
      </c>
      <c r="D3" s="3">
        <v>1</v>
      </c>
      <c r="E3" s="15">
        <f>B3*C3*D3</f>
        <v>2</v>
      </c>
      <c r="G3" s="20"/>
    </row>
    <row r="4" spans="1:7" x14ac:dyDescent="0.3">
      <c r="A4" s="2" t="s">
        <v>60</v>
      </c>
      <c r="B4" s="3">
        <v>3</v>
      </c>
      <c r="C4" s="3">
        <v>2</v>
      </c>
      <c r="D4" s="3">
        <v>1</v>
      </c>
      <c r="E4" s="15">
        <f t="shared" ref="E4:E7" si="0">B4*C4*D4</f>
        <v>6</v>
      </c>
      <c r="G4" s="20"/>
    </row>
    <row r="5" spans="1:7" x14ac:dyDescent="0.3">
      <c r="A5" s="2" t="s">
        <v>61</v>
      </c>
      <c r="B5" s="3">
        <v>3</v>
      </c>
      <c r="C5" s="3">
        <v>3</v>
      </c>
      <c r="D5" s="3">
        <v>4</v>
      </c>
      <c r="E5" s="15">
        <f t="shared" si="0"/>
        <v>36</v>
      </c>
      <c r="G5" s="20"/>
    </row>
    <row r="6" spans="1:7" x14ac:dyDescent="0.3">
      <c r="A6" s="2" t="s">
        <v>62</v>
      </c>
      <c r="B6" s="3">
        <v>1</v>
      </c>
      <c r="C6" s="3">
        <v>1</v>
      </c>
      <c r="D6" s="3">
        <v>1</v>
      </c>
      <c r="E6" s="15">
        <f t="shared" si="0"/>
        <v>1</v>
      </c>
      <c r="G6" s="20"/>
    </row>
    <row r="7" spans="1:7" ht="15" thickBot="1" x14ac:dyDescent="0.35">
      <c r="A7" s="4" t="s">
        <v>63</v>
      </c>
      <c r="B7" s="5">
        <v>1</v>
      </c>
      <c r="C7" s="5">
        <v>1</v>
      </c>
      <c r="D7" s="5">
        <v>1</v>
      </c>
      <c r="E7" s="16">
        <f t="shared" si="0"/>
        <v>1</v>
      </c>
      <c r="G7" s="20"/>
    </row>
    <row r="8" spans="1:7" x14ac:dyDescent="0.3">
      <c r="A8" s="17" t="s">
        <v>65</v>
      </c>
      <c r="B8" s="18"/>
      <c r="C8" s="18"/>
      <c r="D8" s="19"/>
      <c r="E8" s="14">
        <f>AVERAGE(E9:E13)</f>
        <v>2.2000000000000002</v>
      </c>
      <c r="G8" s="20"/>
    </row>
    <row r="9" spans="1:7" x14ac:dyDescent="0.3">
      <c r="A9" s="2" t="s">
        <v>59</v>
      </c>
      <c r="B9" s="3">
        <v>2</v>
      </c>
      <c r="C9" s="3">
        <v>1</v>
      </c>
      <c r="D9" s="3">
        <v>1</v>
      </c>
      <c r="E9" s="15">
        <f>B9*C9*D9</f>
        <v>2</v>
      </c>
      <c r="G9" s="20"/>
    </row>
    <row r="10" spans="1:7" x14ac:dyDescent="0.3">
      <c r="A10" s="2" t="s">
        <v>60</v>
      </c>
      <c r="B10" s="3">
        <v>3</v>
      </c>
      <c r="C10" s="3">
        <v>2</v>
      </c>
      <c r="D10" s="3">
        <v>1</v>
      </c>
      <c r="E10" s="15">
        <f t="shared" ref="E10:E13" si="1">B10*C10*D10</f>
        <v>6</v>
      </c>
      <c r="G10" s="20"/>
    </row>
    <row r="11" spans="1:7" x14ac:dyDescent="0.3">
      <c r="A11" s="2" t="s">
        <v>61</v>
      </c>
      <c r="B11" s="3">
        <v>1</v>
      </c>
      <c r="C11" s="3">
        <v>1</v>
      </c>
      <c r="D11" s="3">
        <v>1</v>
      </c>
      <c r="E11" s="15">
        <f t="shared" si="1"/>
        <v>1</v>
      </c>
      <c r="G11" s="20"/>
    </row>
    <row r="12" spans="1:7" x14ac:dyDescent="0.3">
      <c r="A12" s="2" t="s">
        <v>62</v>
      </c>
      <c r="B12" s="3">
        <v>1</v>
      </c>
      <c r="C12" s="3">
        <v>1</v>
      </c>
      <c r="D12" s="3">
        <v>1</v>
      </c>
      <c r="E12" s="15">
        <f t="shared" si="1"/>
        <v>1</v>
      </c>
      <c r="G12" s="20"/>
    </row>
    <row r="13" spans="1:7" ht="15" thickBot="1" x14ac:dyDescent="0.35">
      <c r="A13" s="4" t="s">
        <v>63</v>
      </c>
      <c r="B13" s="5">
        <v>1</v>
      </c>
      <c r="C13" s="5">
        <v>1</v>
      </c>
      <c r="D13" s="5">
        <v>1</v>
      </c>
      <c r="E13" s="16">
        <f t="shared" si="1"/>
        <v>1</v>
      </c>
      <c r="G13" s="20"/>
    </row>
    <row r="14" spans="1:7" x14ac:dyDescent="0.3">
      <c r="A14" s="17" t="s">
        <v>25</v>
      </c>
      <c r="B14" s="18"/>
      <c r="C14" s="18"/>
      <c r="D14" s="19"/>
      <c r="E14" s="14">
        <f>AVERAGE(E15:E19)</f>
        <v>3.6</v>
      </c>
      <c r="G14" s="20"/>
    </row>
    <row r="15" spans="1:7" x14ac:dyDescent="0.3">
      <c r="A15" s="2" t="s">
        <v>59</v>
      </c>
      <c r="B15" s="3">
        <v>3</v>
      </c>
      <c r="C15" s="3">
        <v>2</v>
      </c>
      <c r="D15" s="3">
        <v>1</v>
      </c>
      <c r="E15" s="15">
        <f>B15*C15*D15</f>
        <v>6</v>
      </c>
      <c r="G15" s="20"/>
    </row>
    <row r="16" spans="1:7" x14ac:dyDescent="0.3">
      <c r="A16" s="2" t="s">
        <v>60</v>
      </c>
      <c r="B16" s="3">
        <v>3</v>
      </c>
      <c r="C16" s="3">
        <v>3</v>
      </c>
      <c r="D16" s="3">
        <v>1</v>
      </c>
      <c r="E16" s="15">
        <f t="shared" ref="E16:E19" si="2">B16*C16*D16</f>
        <v>9</v>
      </c>
      <c r="G16" s="20"/>
    </row>
    <row r="17" spans="1:7" x14ac:dyDescent="0.3">
      <c r="A17" s="2" t="s">
        <v>61</v>
      </c>
      <c r="B17" s="3">
        <v>1</v>
      </c>
      <c r="C17" s="3">
        <v>1</v>
      </c>
      <c r="D17" s="3">
        <v>1</v>
      </c>
      <c r="E17" s="15">
        <f t="shared" si="2"/>
        <v>1</v>
      </c>
      <c r="G17" s="20"/>
    </row>
    <row r="18" spans="1:7" x14ac:dyDescent="0.3">
      <c r="A18" s="2" t="s">
        <v>62</v>
      </c>
      <c r="B18" s="3">
        <v>1</v>
      </c>
      <c r="C18" s="3">
        <v>1</v>
      </c>
      <c r="D18" s="3">
        <v>1</v>
      </c>
      <c r="E18" s="15">
        <f t="shared" si="2"/>
        <v>1</v>
      </c>
      <c r="G18" s="20"/>
    </row>
    <row r="19" spans="1:7" ht="15" thickBot="1" x14ac:dyDescent="0.35">
      <c r="A19" s="4" t="s">
        <v>63</v>
      </c>
      <c r="B19" s="5">
        <v>1</v>
      </c>
      <c r="C19" s="5">
        <v>1</v>
      </c>
      <c r="D19" s="5">
        <v>1</v>
      </c>
      <c r="E19" s="16">
        <f t="shared" si="2"/>
        <v>1</v>
      </c>
      <c r="G19" s="20"/>
    </row>
    <row r="20" spans="1:7" x14ac:dyDescent="0.3">
      <c r="A20" s="17" t="s">
        <v>27</v>
      </c>
      <c r="B20" s="18"/>
      <c r="C20" s="18"/>
      <c r="D20" s="19"/>
      <c r="E20" s="14">
        <f>AVERAGE(E21:E25)</f>
        <v>2.6</v>
      </c>
      <c r="G20" s="20"/>
    </row>
    <row r="21" spans="1:7" x14ac:dyDescent="0.3">
      <c r="A21" s="2" t="s">
        <v>59</v>
      </c>
      <c r="B21" s="3">
        <v>3</v>
      </c>
      <c r="C21" s="3">
        <v>2</v>
      </c>
      <c r="D21" s="3">
        <v>1</v>
      </c>
      <c r="E21" s="15">
        <f>B21*C21*D21</f>
        <v>6</v>
      </c>
    </row>
    <row r="22" spans="1:7" x14ac:dyDescent="0.3">
      <c r="A22" s="2" t="s">
        <v>60</v>
      </c>
      <c r="B22" s="3">
        <v>2</v>
      </c>
      <c r="C22" s="3">
        <v>2</v>
      </c>
      <c r="D22" s="3">
        <v>1</v>
      </c>
      <c r="E22" s="15">
        <f t="shared" ref="E22:E25" si="3">B22*C22*D22</f>
        <v>4</v>
      </c>
    </row>
    <row r="23" spans="1:7" x14ac:dyDescent="0.3">
      <c r="A23" s="2" t="s">
        <v>61</v>
      </c>
      <c r="B23" s="3">
        <v>1</v>
      </c>
      <c r="C23" s="3">
        <v>1</v>
      </c>
      <c r="D23" s="3">
        <v>1</v>
      </c>
      <c r="E23" s="15">
        <f t="shared" si="3"/>
        <v>1</v>
      </c>
    </row>
    <row r="24" spans="1:7" x14ac:dyDescent="0.3">
      <c r="A24" s="2" t="s">
        <v>62</v>
      </c>
      <c r="B24" s="3">
        <v>1</v>
      </c>
      <c r="C24" s="3">
        <v>1</v>
      </c>
      <c r="D24" s="3">
        <v>1</v>
      </c>
      <c r="E24" s="15">
        <f t="shared" si="3"/>
        <v>1</v>
      </c>
    </row>
    <row r="25" spans="1:7" ht="15" thickBot="1" x14ac:dyDescent="0.35">
      <c r="A25" s="4" t="s">
        <v>63</v>
      </c>
      <c r="B25" s="5">
        <v>1</v>
      </c>
      <c r="C25" s="5">
        <v>1</v>
      </c>
      <c r="D25" s="5">
        <v>1</v>
      </c>
      <c r="E25" s="16">
        <f t="shared" si="3"/>
        <v>1</v>
      </c>
    </row>
    <row r="26" spans="1:7" x14ac:dyDescent="0.3">
      <c r="A26" s="17" t="s">
        <v>31</v>
      </c>
      <c r="B26" s="18"/>
      <c r="C26" s="18"/>
      <c r="D26" s="19"/>
      <c r="E26" s="14">
        <f>AVERAGE(E27:E31)</f>
        <v>2.2000000000000002</v>
      </c>
    </row>
    <row r="27" spans="1:7" x14ac:dyDescent="0.3">
      <c r="A27" s="2" t="s">
        <v>59</v>
      </c>
      <c r="B27" s="3">
        <v>2</v>
      </c>
      <c r="C27" s="3">
        <v>1</v>
      </c>
      <c r="D27" s="3">
        <v>1</v>
      </c>
      <c r="E27" s="15">
        <f>B27*C27*D27</f>
        <v>2</v>
      </c>
    </row>
    <row r="28" spans="1:7" x14ac:dyDescent="0.3">
      <c r="A28" s="2" t="s">
        <v>60</v>
      </c>
      <c r="B28" s="3">
        <v>3</v>
      </c>
      <c r="C28" s="3">
        <v>2</v>
      </c>
      <c r="D28" s="3">
        <v>1</v>
      </c>
      <c r="E28" s="15">
        <f t="shared" ref="E28:E31" si="4">B28*C28*D28</f>
        <v>6</v>
      </c>
    </row>
    <row r="29" spans="1:7" x14ac:dyDescent="0.3">
      <c r="A29" s="2" t="s">
        <v>61</v>
      </c>
      <c r="B29" s="3">
        <v>1</v>
      </c>
      <c r="C29" s="3">
        <v>1</v>
      </c>
      <c r="D29" s="3">
        <v>1</v>
      </c>
      <c r="E29" s="15">
        <f t="shared" si="4"/>
        <v>1</v>
      </c>
    </row>
    <row r="30" spans="1:7" x14ac:dyDescent="0.3">
      <c r="A30" s="2" t="s">
        <v>62</v>
      </c>
      <c r="B30" s="3">
        <v>1</v>
      </c>
      <c r="C30" s="3">
        <v>1</v>
      </c>
      <c r="D30" s="3">
        <v>1</v>
      </c>
      <c r="E30" s="15">
        <f t="shared" si="4"/>
        <v>1</v>
      </c>
    </row>
    <row r="31" spans="1:7" ht="15" thickBot="1" x14ac:dyDescent="0.35">
      <c r="A31" s="4" t="s">
        <v>63</v>
      </c>
      <c r="B31" s="5">
        <v>1</v>
      </c>
      <c r="C31" s="5">
        <v>1</v>
      </c>
      <c r="D31" s="5">
        <v>1</v>
      </c>
      <c r="E31" s="16">
        <f t="shared" si="4"/>
        <v>1</v>
      </c>
    </row>
    <row r="32" spans="1:7" x14ac:dyDescent="0.3">
      <c r="A32" s="17" t="s">
        <v>32</v>
      </c>
      <c r="B32" s="18"/>
      <c r="C32" s="18"/>
      <c r="D32" s="19"/>
      <c r="E32" s="14">
        <f>AVERAGE(E33:E37)</f>
        <v>3.6</v>
      </c>
    </row>
    <row r="33" spans="1:5" x14ac:dyDescent="0.3">
      <c r="A33" s="2" t="s">
        <v>59</v>
      </c>
      <c r="B33" s="3">
        <v>3</v>
      </c>
      <c r="C33" s="3">
        <v>2</v>
      </c>
      <c r="D33" s="3">
        <v>1</v>
      </c>
      <c r="E33" s="15">
        <f>B33*C33*D33</f>
        <v>6</v>
      </c>
    </row>
    <row r="34" spans="1:5" x14ac:dyDescent="0.3">
      <c r="A34" s="2" t="s">
        <v>60</v>
      </c>
      <c r="B34" s="3">
        <v>3</v>
      </c>
      <c r="C34" s="3">
        <v>3</v>
      </c>
      <c r="D34" s="3">
        <v>1</v>
      </c>
      <c r="E34" s="15">
        <f t="shared" ref="E34:E37" si="5">B34*C34*D34</f>
        <v>9</v>
      </c>
    </row>
    <row r="35" spans="1:5" x14ac:dyDescent="0.3">
      <c r="A35" s="2" t="s">
        <v>61</v>
      </c>
      <c r="B35" s="3">
        <v>1</v>
      </c>
      <c r="C35" s="3">
        <v>1</v>
      </c>
      <c r="D35" s="3">
        <v>1</v>
      </c>
      <c r="E35" s="15">
        <f t="shared" si="5"/>
        <v>1</v>
      </c>
    </row>
    <row r="36" spans="1:5" x14ac:dyDescent="0.3">
      <c r="A36" s="2" t="s">
        <v>62</v>
      </c>
      <c r="B36" s="3">
        <v>1</v>
      </c>
      <c r="C36" s="3">
        <v>1</v>
      </c>
      <c r="D36" s="3">
        <v>1</v>
      </c>
      <c r="E36" s="15">
        <f t="shared" si="5"/>
        <v>1</v>
      </c>
    </row>
    <row r="37" spans="1:5" ht="15" thickBot="1" x14ac:dyDescent="0.35">
      <c r="A37" s="4" t="s">
        <v>63</v>
      </c>
      <c r="B37" s="5">
        <v>1</v>
      </c>
      <c r="C37" s="5">
        <v>1</v>
      </c>
      <c r="D37" s="5">
        <v>1</v>
      </c>
      <c r="E37" s="16">
        <f t="shared" si="5"/>
        <v>1</v>
      </c>
    </row>
    <row r="38" spans="1:5" x14ac:dyDescent="0.3">
      <c r="A38" s="17" t="s">
        <v>37</v>
      </c>
      <c r="B38" s="18"/>
      <c r="C38" s="18"/>
      <c r="D38" s="19"/>
      <c r="E38" s="14">
        <f>AVERAGE(E39:E43)</f>
        <v>0</v>
      </c>
    </row>
    <row r="39" spans="1:5" x14ac:dyDescent="0.3">
      <c r="A39" s="2" t="s">
        <v>59</v>
      </c>
      <c r="B39" s="3"/>
      <c r="C39" s="3"/>
      <c r="D39" s="3"/>
      <c r="E39" s="15">
        <f>B39*C39*D39</f>
        <v>0</v>
      </c>
    </row>
    <row r="40" spans="1:5" x14ac:dyDescent="0.3">
      <c r="A40" s="2" t="s">
        <v>60</v>
      </c>
      <c r="B40" s="3"/>
      <c r="C40" s="3"/>
      <c r="D40" s="3"/>
      <c r="E40" s="15">
        <f t="shared" ref="E40:E43" si="6">B40*C40*D40</f>
        <v>0</v>
      </c>
    </row>
    <row r="41" spans="1:5" x14ac:dyDescent="0.3">
      <c r="A41" s="2" t="s">
        <v>61</v>
      </c>
      <c r="B41" s="3"/>
      <c r="C41" s="3"/>
      <c r="D41" s="3"/>
      <c r="E41" s="15">
        <f t="shared" si="6"/>
        <v>0</v>
      </c>
    </row>
    <row r="42" spans="1:5" x14ac:dyDescent="0.3">
      <c r="A42" s="2" t="s">
        <v>62</v>
      </c>
      <c r="B42" s="3"/>
      <c r="C42" s="3"/>
      <c r="D42" s="3"/>
      <c r="E42" s="15">
        <f t="shared" si="6"/>
        <v>0</v>
      </c>
    </row>
    <row r="43" spans="1:5" ht="15" thickBot="1" x14ac:dyDescent="0.35">
      <c r="A43" s="4" t="s">
        <v>63</v>
      </c>
      <c r="B43" s="5"/>
      <c r="C43" s="5"/>
      <c r="D43" s="5"/>
      <c r="E43" s="16">
        <f t="shared" si="6"/>
        <v>0</v>
      </c>
    </row>
    <row r="44" spans="1:5" x14ac:dyDescent="0.3">
      <c r="A44" s="17" t="s">
        <v>41</v>
      </c>
      <c r="B44" s="18"/>
      <c r="C44" s="18"/>
      <c r="D44" s="19"/>
      <c r="E44" s="14">
        <f>AVERAGE(E45:E49)</f>
        <v>0</v>
      </c>
    </row>
    <row r="45" spans="1:5" x14ac:dyDescent="0.3">
      <c r="A45" s="2" t="s">
        <v>59</v>
      </c>
      <c r="B45" s="3"/>
      <c r="C45" s="3"/>
      <c r="D45" s="3"/>
      <c r="E45" s="15">
        <f>B45*C45*D45</f>
        <v>0</v>
      </c>
    </row>
    <row r="46" spans="1:5" x14ac:dyDescent="0.3">
      <c r="A46" s="2" t="s">
        <v>60</v>
      </c>
      <c r="B46" s="3"/>
      <c r="C46" s="3"/>
      <c r="D46" s="3"/>
      <c r="E46" s="15">
        <f t="shared" ref="E46:E49" si="7">B46*C46*D46</f>
        <v>0</v>
      </c>
    </row>
    <row r="47" spans="1:5" x14ac:dyDescent="0.3">
      <c r="A47" s="2" t="s">
        <v>61</v>
      </c>
      <c r="B47" s="3"/>
      <c r="C47" s="3"/>
      <c r="D47" s="3"/>
      <c r="E47" s="15">
        <f t="shared" si="7"/>
        <v>0</v>
      </c>
    </row>
    <row r="48" spans="1:5" x14ac:dyDescent="0.3">
      <c r="A48" s="2" t="s">
        <v>62</v>
      </c>
      <c r="B48" s="3"/>
      <c r="C48" s="3"/>
      <c r="D48" s="3"/>
      <c r="E48" s="15">
        <f t="shared" si="7"/>
        <v>0</v>
      </c>
    </row>
    <row r="49" spans="1:5" ht="15" thickBot="1" x14ac:dyDescent="0.35">
      <c r="A49" s="4" t="s">
        <v>63</v>
      </c>
      <c r="B49" s="5"/>
      <c r="C49" s="5"/>
      <c r="D49" s="5"/>
      <c r="E49" s="16">
        <f t="shared" si="7"/>
        <v>0</v>
      </c>
    </row>
    <row r="50" spans="1:5" x14ac:dyDescent="0.3">
      <c r="A50" s="17" t="s">
        <v>43</v>
      </c>
      <c r="B50" s="18"/>
      <c r="C50" s="18"/>
      <c r="D50" s="19"/>
      <c r="E50" s="14">
        <f>AVERAGE(E51:E55)</f>
        <v>0</v>
      </c>
    </row>
    <row r="51" spans="1:5" x14ac:dyDescent="0.3">
      <c r="A51" s="2" t="s">
        <v>59</v>
      </c>
      <c r="B51" s="3"/>
      <c r="C51" s="3"/>
      <c r="D51" s="3"/>
      <c r="E51" s="15">
        <f>B51*C51*D51</f>
        <v>0</v>
      </c>
    </row>
    <row r="52" spans="1:5" x14ac:dyDescent="0.3">
      <c r="A52" s="2" t="s">
        <v>60</v>
      </c>
      <c r="B52" s="3"/>
      <c r="C52" s="3"/>
      <c r="D52" s="3"/>
      <c r="E52" s="15">
        <f t="shared" ref="E52:E55" si="8">B52*C52*D52</f>
        <v>0</v>
      </c>
    </row>
    <row r="53" spans="1:5" x14ac:dyDescent="0.3">
      <c r="A53" s="2" t="s">
        <v>61</v>
      </c>
      <c r="B53" s="3"/>
      <c r="C53" s="3"/>
      <c r="D53" s="3"/>
      <c r="E53" s="15">
        <f t="shared" si="8"/>
        <v>0</v>
      </c>
    </row>
    <row r="54" spans="1:5" x14ac:dyDescent="0.3">
      <c r="A54" s="2" t="s">
        <v>62</v>
      </c>
      <c r="B54" s="3"/>
      <c r="C54" s="3"/>
      <c r="D54" s="3"/>
      <c r="E54" s="15">
        <f t="shared" si="8"/>
        <v>0</v>
      </c>
    </row>
    <row r="55" spans="1:5" ht="15" thickBot="1" x14ac:dyDescent="0.35">
      <c r="A55" s="4" t="s">
        <v>63</v>
      </c>
      <c r="B55" s="5"/>
      <c r="C55" s="5"/>
      <c r="D55" s="5"/>
      <c r="E55" s="16">
        <f t="shared" si="8"/>
        <v>0</v>
      </c>
    </row>
    <row r="56" spans="1:5" x14ac:dyDescent="0.3">
      <c r="A56" s="17" t="s">
        <v>42</v>
      </c>
      <c r="B56" s="18"/>
      <c r="C56" s="18"/>
      <c r="D56" s="19"/>
      <c r="E56" s="14">
        <f>AVERAGE(E57:E61)</f>
        <v>0</v>
      </c>
    </row>
    <row r="57" spans="1:5" x14ac:dyDescent="0.3">
      <c r="A57" s="2" t="s">
        <v>59</v>
      </c>
      <c r="B57" s="3"/>
      <c r="C57" s="3"/>
      <c r="D57" s="3"/>
      <c r="E57" s="15">
        <f>B57*C57*D57</f>
        <v>0</v>
      </c>
    </row>
    <row r="58" spans="1:5" x14ac:dyDescent="0.3">
      <c r="A58" s="2" t="s">
        <v>60</v>
      </c>
      <c r="B58" s="3"/>
      <c r="C58" s="3"/>
      <c r="D58" s="3"/>
      <c r="E58" s="15">
        <f t="shared" ref="E58:E61" si="9">B58*C58*D58</f>
        <v>0</v>
      </c>
    </row>
    <row r="59" spans="1:5" x14ac:dyDescent="0.3">
      <c r="A59" s="2" t="s">
        <v>61</v>
      </c>
      <c r="B59" s="3"/>
      <c r="C59" s="3"/>
      <c r="D59" s="3"/>
      <c r="E59" s="15">
        <f t="shared" si="9"/>
        <v>0</v>
      </c>
    </row>
    <row r="60" spans="1:5" x14ac:dyDescent="0.3">
      <c r="A60" s="2" t="s">
        <v>62</v>
      </c>
      <c r="B60" s="3"/>
      <c r="C60" s="3"/>
      <c r="D60" s="3"/>
      <c r="E60" s="15">
        <f t="shared" si="9"/>
        <v>0</v>
      </c>
    </row>
    <row r="61" spans="1:5" ht="15" thickBot="1" x14ac:dyDescent="0.35">
      <c r="A61" s="4" t="s">
        <v>63</v>
      </c>
      <c r="B61" s="5"/>
      <c r="C61" s="5"/>
      <c r="D61" s="5"/>
      <c r="E61" s="16">
        <f t="shared" si="9"/>
        <v>0</v>
      </c>
    </row>
    <row r="62" spans="1:5" x14ac:dyDescent="0.3">
      <c r="A62" s="17" t="s">
        <v>46</v>
      </c>
      <c r="B62" s="18"/>
      <c r="C62" s="18"/>
      <c r="D62" s="19"/>
      <c r="E62" s="14">
        <f>AVERAGE(E63:E67)</f>
        <v>0</v>
      </c>
    </row>
    <row r="63" spans="1:5" x14ac:dyDescent="0.3">
      <c r="A63" s="2" t="s">
        <v>59</v>
      </c>
      <c r="B63" s="3"/>
      <c r="C63" s="3"/>
      <c r="D63" s="3"/>
      <c r="E63" s="15">
        <f>B63*C63*D63</f>
        <v>0</v>
      </c>
    </row>
    <row r="64" spans="1:5" x14ac:dyDescent="0.3">
      <c r="A64" s="2" t="s">
        <v>60</v>
      </c>
      <c r="B64" s="3"/>
      <c r="C64" s="3"/>
      <c r="D64" s="3"/>
      <c r="E64" s="15">
        <f t="shared" ref="E64:E67" si="10">B64*C64*D64</f>
        <v>0</v>
      </c>
    </row>
    <row r="65" spans="1:5" x14ac:dyDescent="0.3">
      <c r="A65" s="2" t="s">
        <v>61</v>
      </c>
      <c r="B65" s="3"/>
      <c r="C65" s="3"/>
      <c r="D65" s="3"/>
      <c r="E65" s="15">
        <f t="shared" si="10"/>
        <v>0</v>
      </c>
    </row>
    <row r="66" spans="1:5" x14ac:dyDescent="0.3">
      <c r="A66" s="2" t="s">
        <v>62</v>
      </c>
      <c r="B66" s="3"/>
      <c r="C66" s="3"/>
      <c r="D66" s="3"/>
      <c r="E66" s="15">
        <f t="shared" si="10"/>
        <v>0</v>
      </c>
    </row>
    <row r="67" spans="1:5" ht="15" thickBot="1" x14ac:dyDescent="0.35">
      <c r="A67" s="4" t="s">
        <v>63</v>
      </c>
      <c r="B67" s="5"/>
      <c r="C67" s="5"/>
      <c r="D67" s="5"/>
      <c r="E67" s="16">
        <f t="shared" si="10"/>
        <v>0</v>
      </c>
    </row>
  </sheetData>
  <mergeCells count="12">
    <mergeCell ref="G1:G20"/>
    <mergeCell ref="A2:D2"/>
    <mergeCell ref="A8:D8"/>
    <mergeCell ref="A14:D14"/>
    <mergeCell ref="A20:D20"/>
    <mergeCell ref="A62:D62"/>
    <mergeCell ref="A26:D26"/>
    <mergeCell ref="A32:D32"/>
    <mergeCell ref="A38:D38"/>
    <mergeCell ref="A44:D44"/>
    <mergeCell ref="A50:D50"/>
    <mergeCell ref="A56:D5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DB_PONTES_BA</vt:lpstr>
      <vt:lpstr>GUT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Lima</dc:creator>
  <cp:lastModifiedBy>Israel Lima de Jesus</cp:lastModifiedBy>
  <dcterms:created xsi:type="dcterms:W3CDTF">2015-06-05T18:19:34Z</dcterms:created>
  <dcterms:modified xsi:type="dcterms:W3CDTF">2026-05-05T18:37:37Z</dcterms:modified>
</cp:coreProperties>
</file>